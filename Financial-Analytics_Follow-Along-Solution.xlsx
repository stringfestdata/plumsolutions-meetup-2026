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GeorgeMount\Documents\GitHub\plumsolutions-meetup-2026\"/>
    </mc:Choice>
  </mc:AlternateContent>
  <xr:revisionPtr revIDLastSave="0" documentId="13_ncr:1_{251ABA1E-D6C8-4D82-9649-A178231F8685}" xr6:coauthVersionLast="47" xr6:coauthVersionMax="47" xr10:uidLastSave="{00000000-0000-0000-0000-000000000000}"/>
  <bookViews>
    <workbookView xWindow="-98" yWindow="-98" windowWidth="18915" windowHeight="12676" xr2:uid="{00000000-000D-0000-FFFF-FFFF00000000}"/>
  </bookViews>
  <sheets>
    <sheet name="follow-along" sheetId="1" r:id="rId1"/>
    <sheet name="revenue" sheetId="2" r:id="rId2"/>
    <sheet name="bookings" sheetId="3" r:id="rId3"/>
    <sheet name="assumption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9" i="1" l="1" a="1"/>
  <c r="E118" i="1" a="1"/>
  <c r="E116" i="1" a="1"/>
  <c r="E104" i="1" a="1"/>
  <c r="E92" i="1" a="1"/>
  <c r="E79" i="1" a="1"/>
  <c r="E77" i="1" a="1"/>
  <c r="E65" i="1" a="1"/>
  <c r="E53" i="1" a="1"/>
  <c r="E41" i="1" a="1"/>
  <c r="E30" i="1" a="1"/>
  <c r="E28" i="1" a="1"/>
  <c r="E16"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3">
    <bk>
      <extLst>
        <ext uri="{3e2802c4-a4d2-4d8b-9148-e3be6c30e623}">
          <xlrd:rvb i="7"/>
        </ext>
      </extLst>
    </bk>
    <bk>
      <extLst>
        <ext uri="{3e2802c4-a4d2-4d8b-9148-e3be6c30e623}">
          <xlrd:rvb i="20"/>
        </ext>
      </extLst>
    </bk>
    <bk>
      <extLst>
        <ext uri="{3e2802c4-a4d2-4d8b-9148-e3be6c30e623}">
          <xlrd:rvb i="24"/>
        </ext>
      </extLst>
    </bk>
    <bk>
      <extLst>
        <ext uri="{3e2802c4-a4d2-4d8b-9148-e3be6c30e623}">
          <xlrd:rvb i="2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3"/>
        </ext>
      </extLst>
    </bk>
    <bk>
      <extLst>
        <ext uri="{3e2802c4-a4d2-4d8b-9148-e3be6c30e623}">
          <xlrd:rvb i="66"/>
        </ext>
      </extLst>
    </bk>
  </futureMetadata>
  <cellMetadata count="1">
    <bk>
      <rc t="1" v="0"/>
    </bk>
  </cellMetadata>
  <valueMetadata count="13">
    <bk>
      <rc t="2" v="0"/>
    </bk>
    <bk>
      <rc t="2" v="1"/>
    </bk>
    <bk>
      <rc t="2" v="2"/>
    </bk>
    <bk>
      <rc t="2" v="3"/>
    </bk>
    <bk>
      <rc t="2" v="4"/>
    </bk>
    <bk>
      <rc t="2" v="5"/>
    </bk>
    <bk>
      <rc t="2" v="6"/>
    </bk>
    <bk>
      <rc t="2" v="7"/>
    </bk>
    <bk>
      <rc t="2" v="8"/>
    </bk>
    <bk>
      <rc t="2" v="9"/>
    </bk>
    <bk>
      <rc t="2" v="10"/>
    </bk>
    <bk>
      <rc t="2" v="11"/>
    </bk>
    <bk>
      <rc t="2" v="12"/>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import pandas as pd
import numpy as np
df = xl(%P2%, headers=True)
df['date'] = pd.to_datetime(df['date'])
df = df.set_index('date')
df.head()</code>
    </pythonScript>
    <pythonScript>
      <code>quarterly = df.resample('QE').mean()
df['rolling'] = df['revenue'].rolling(window=12).mean()
df[['revenue', 'rolling']].tail(12)</code>
    </pythonScript>
    <pythonScript>
      <code>import matplotlib.pyplot as plt
import seaborn as sns
sns.lineplot(data=df[['revenue', 'rolling']])</code>
    </pythonScript>
    <pythonScript>
      <code>from statsmodels.tsa.seasonal import seasonal_decompose
result = seasonal_decompose(df['revenue'], model='additive', period=12)
result.plot()</code>
    </pythonScript>
    <pythonScript>
      <code>from statsmodels.tsa.holtwinters import ExponentialSmoothing
fit = ExponentialSmoothing(
    df['revenue'],
    trend='add',
    seasonal='add',
    seasonal_periods=12,
).fit()
forecast = fit.forecast(12)
forecast</code>
    </pythonScript>
    <pythonScript>
      <code>train = df[df.index &lt; '2024-01-01']
test  = df[df.index &gt;= '2024-01-01']
fit = ExponentialSmoothing(train['revenue'], trend='add',
                           seasonal='add', seasonal_periods=12).fit()
fc  = fit.forecast(len(test))
mae = (fc - test['revenue']).abs().mean()
baseline = pd.Series(train['revenue'].iloc[-1], index=test.index)
base_mae = (baseline - test['revenue']).abs().mean()
pd.Series({'Holt-Winters MAE': round(mae), 'Baseline MAE': round(base_mae)})</code>
    </pythonScript>
    <pythonScript>
      <code>b = xl(%P2%, headers=True)
b['date'] = pd.to_datetime(b['date'])
b = b.set_index('date')
seasonal_decompose(b['bookings'], model='additive', period=12).plot()</code>
    </pythonScript>
    <pythonScript>
      <code>ExponentialSmoothing(b['bookings'], trend='add', seasonal=None).fit().forecast(12)</code>
    </pythonScript>
    <pythonScript>
      <code>np.random.seed(42)          # reproducible
N = 10000
demand = np.maximum(np.random.normal(1000, 200, N), 0)
pd.Series(demand).describe()</code>
    </pythonScript>
    <pythonScript>
      <code>price, cost, inv = 50, 30, 1100
units   = np.minimum(demand, inv)   # =MIN(demand, inventory)
revenue = units * price
profit  = revenue - inv * cost
pd.Series(profit).describe()</code>
    </pythonScript>
    <pythonScript>
      <code>p10, p90  = np.percentile(profit, [10, 90])
prob_loss = (profit &lt; 0).mean()
pd.DataFrame({
    'mean':      [round(profit.mean())],
    'p10':       [round(p10)],
    'p90':       [round(p90)],
    'prob_loss': [round(prob_loss, 3)],
})</code>
    </pythonScript>
    <pythonScript>
      <code>sns.histplot(profit, bins=50)
plt.axvline(profit.mean()); plt.axvline(0)</code>
    </pythonScript>
    <pythonScript>
      <code>rows = []
for inv in [900, 1100, 1300]:
    p = np.minimum(demand, inv) * price - inv * cost
    rows.append({
        'inventory': inv,
        'mean':      round(p.mean()),
        'p10':       round(np.percentile(p, 10)),
        'prob_loss': round((p &lt; 0).mean(), 3),
    })
pd.DataFrame(rows)</code>
    </pythonScript>
  </pythonScripts>
</python>
</file>

<file path=xl/sharedStrings.xml><?xml version="1.0" encoding="utf-8"?>
<sst xmlns="http://schemas.openxmlformats.org/spreadsheetml/2006/main" count="83" uniqueCount="71">
  <si>
    <t>Follow along: Financial Analytics with Python in Excel</t>
  </si>
  <si>
    <t>Two workflows tonight: forecasting a revenue series, and simulating profit under uncertain demand. Work top to bottom.</t>
  </si>
  <si>
    <t>Type each code block into a PY() cell in column E (to the right of the code) and run it. The whole area to the right and below is left open so your results can spill freely.</t>
  </si>
  <si>
    <t>↓  your PY() cells go here</t>
  </si>
  <si>
    <t>Type it, don't paste it.</t>
  </si>
  <si>
    <t>The code is printed here so you never get stuck. Time permitting, type it into a PY() cell rather than pasting. Typing builds the muscle memory and makes you slow down and read each step.</t>
  </si>
  <si>
    <t>But wait: can't Excel already forecast?</t>
  </si>
  <si>
    <t>FORECAST.ETS and Data Tables are genuinely useful, and you should keep using them. Reach for Python in Excel when you need decomposition diagnostics, honest train and test evaluation, thousands of Monte Carlo trials, or the full distribution of outcomes instead of a single grid.</t>
  </si>
  <si>
    <t>PART 1  ·  FORECASTING A REVENUE SERIES</t>
  </si>
  <si>
    <t>Step 1: Load the revenue series</t>
  </si>
  <si>
    <t>The revenue range is an Excel Table named 'revenue'. Load it, make the dates real, and set them as the index.</t>
  </si>
  <si>
    <t>Run →</t>
  </si>
  <si>
    <t>import pandas as pd
import numpy as np
df = xl("revenue[#All]", headers=True)
df['date'] = pd.to_datetime(df['date'])
df = df.set_index('date')
df.head()</t>
  </si>
  <si>
    <t>Setting the date as the index lets you resample and roll by time in one line.</t>
  </si>
  <si>
    <t>Step 2: See the trend under the noise</t>
  </si>
  <si>
    <t>Roll the months up to quarters, and add a 12-month moving average.</t>
  </si>
  <si>
    <t>quarterly = df.resample('QE').mean()
df['rolling'] = df['revenue'].rolling(window=12).mean()
df[['revenue', 'rolling']].tail(12)</t>
  </si>
  <si>
    <t>The first 11 rolling values are empty and show as #NUM! in the grid. That is expected.</t>
  </si>
  <si>
    <t>Then →</t>
  </si>
  <si>
    <t>import matplotlib.pyplot as plt
import seaborn as sns
sns.lineplot(data=df[['revenue', 'rolling']])</t>
  </si>
  <si>
    <t>Step 3: Split it into trend, season, and noise</t>
  </si>
  <si>
    <t>Decomposition separates the series so you can see what is really driving it.</t>
  </si>
  <si>
    <t>from statsmodels.tsa.seasonal import seasonal_decompose
result = seasonal_decompose(df['revenue'], model='additive', period=12)
result.plot()</t>
  </si>
  <si>
    <t>A clean 12-month wave plus a near-random residual means trend and seasonality explain most of the movement.</t>
  </si>
  <si>
    <t>Step 4: Forecast with Holt-Winters</t>
  </si>
  <si>
    <t>Both trend and seasonality are present, so use a method built for both.</t>
  </si>
  <si>
    <t>from statsmodels.tsa.holtwinters import ExponentialSmoothing
fit = ExponentialSmoothing(
    df['revenue'],
    trend='add',
    seasonal='add',
    seasonal_periods=12,
).fit()
forecast = fit.forecast(12)
forecast</t>
  </si>
  <si>
    <t>The forecast keeps rising and keeps the yearly rhythm, instead of flattening to a straight line.</t>
  </si>
  <si>
    <t>Step 5: Prove it beats a naive guess</t>
  </si>
  <si>
    <t>Hold out the last year, forecast it, and compare the error to a 'next month equals last month' baseline.</t>
  </si>
  <si>
    <t>train = df[df.index &lt; '2024-01-01']
test  = df[df.index &gt;= '2024-01-01']
fit = ExponentialSmoothing(train['revenue'], trend='add',
                           seasonal='add', seasonal_periods=12).fit()
fc  = fit.forecast(len(test))
mae = (fc - test['revenue']).abs().mean()
baseline = pd.Series(train['revenue'].iloc[-1], index=test.index)
base_mae = (baseline - test['revenue']).abs().mean()
pd.Series({'Holt-Winters MAE': round(mae), 'Baseline MAE': round(base_mae)})</t>
  </si>
  <si>
    <t>Holt-Winters lands near $16k, the naive baseline near $42k. The model is earning its keep.</t>
  </si>
  <si>
    <t>Step 6: Match the method to the data</t>
  </si>
  <si>
    <t>Not every series wants Holt-Winters. The 'bookings' table trends up but has no reliable season.</t>
  </si>
  <si>
    <t>b = xl("bookings[#All]", headers=True)
b['date'] = pd.to_datetime(b['date'])
b = b.set_index('date')
seasonal_decompose(b['bookings'], model='additive', period=12).plot()</t>
  </si>
  <si>
    <t>Weak, irregular seasonality here. Holt's method (trend only) fits better than Holt-Winters.</t>
  </si>
  <si>
    <t>ExponentialSmoothing(b['bookings'], trend='add', seasonal=None).fit().forecast(12)</t>
  </si>
  <si>
    <t>PART 2  ·  SIMULATING PROFIT UNDER UNCERTAINTY</t>
  </si>
  <si>
    <t>Step 7: Draw thousands of demand scenarios</t>
  </si>
  <si>
    <t>Simulation starts from assumptions, not a dataset. Model demand as a normal distribution.</t>
  </si>
  <si>
    <t>np.random.seed(42)          # reproducible
N = 10000
demand = np.maximum(np.random.normal(1000, 200, N), 0)
pd.Series(demand).describe()</t>
  </si>
  <si>
    <t>The seed makes every run repeatable and reviewable.</t>
  </si>
  <si>
    <t>Step 8: Turn demand into profit</t>
  </si>
  <si>
    <t>Units sold is the smaller of demand and inventory. That cap is what makes profit skew.</t>
  </si>
  <si>
    <t>price, cost, inv = 50, 30, 1100
units   = np.minimum(demand, inv)   # =MIN(demand, inventory)
revenue = units * price
profit  = revenue - inv * cost
pd.Series(profit).describe()</t>
  </si>
  <si>
    <t>np.minimum is just Excel's MIN, applied to all 10,000 scenarios at once.</t>
  </si>
  <si>
    <t>Step 9: Read the whole distribution</t>
  </si>
  <si>
    <t>Summarize with percentiles and the probability of a loss, not just the average.</t>
  </si>
  <si>
    <t>p10, p90  = np.percentile(profit, [10, 90])
prob_loss = (profit &lt; 0).mean()
pd.DataFrame({
    'mean':      [round(profit.mean())],
    'p10':       [round(p10)],
    'p90':       [round(p90)],
    'prob_loss': [round(prob_loss, 3)],
})</t>
  </si>
  <si>
    <t>Probability of loss answers a question the average never can: how often do we lose money?</t>
  </si>
  <si>
    <t>sns.histplot(profit, bins=50)
plt.axvline(profit.mean()); plt.axvline(0)</t>
  </si>
  <si>
    <t>Step 10: Compare decisions by their risk</t>
  </si>
  <si>
    <t>Keep demand fixed and vary only the inventory choice. Compare the full distributions.</t>
  </si>
  <si>
    <t>rows = []
for inv in [900, 1100, 1300]:
    p = np.minimum(demand, inv) * price - inv * cost
    rows.append({
        'inventory': inv,
        'mean':      round(p.mean()),
        'p10':       round(np.percentile(p, 10)),
        'prob_loss': round((p &lt; 0).mean(), 3),
    })
pd.DataFrame(rows)</t>
  </si>
  <si>
    <t>Now the choice is about risk tolerance, not just which average is biggest.</t>
  </si>
  <si>
    <t>✓  Takeaway</t>
  </si>
  <si>
    <t>Excel formulas for the quick what-if. Python in Excel when you need seasonality, thousands of simulations, and the full range of outcomes.</t>
  </si>
  <si>
    <t>date</t>
  </si>
  <si>
    <t>revenue</t>
  </si>
  <si>
    <t>bookings</t>
  </si>
  <si>
    <t>Monte Carlo assumptions (Steps 7-10)</t>
  </si>
  <si>
    <t>Parameter</t>
  </si>
  <si>
    <t>Value</t>
  </si>
  <si>
    <t>demand_mean</t>
  </si>
  <si>
    <t>demand_sd</t>
  </si>
  <si>
    <t>units_available</t>
  </si>
  <si>
    <t>cost_per_unit</t>
  </si>
  <si>
    <t>selling_price</t>
  </si>
  <si>
    <t>num_simulations</t>
  </si>
  <si>
    <t>random_seed</t>
  </si>
  <si>
    <t>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</si>
</sst>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family val="2"/>
      <scheme val="minor"/>
    </font>
    <font>
      <b/>
      <sz val="20"/>
      <color rgb="FF1F2120"/>
      <name val="Arial Black"/>
      <family val="2"/>
    </font>
    <font>
      <sz val="11"/>
      <color rgb="FF707070"/>
      <name val="Arial"/>
      <family val="2"/>
    </font>
    <font>
      <i/>
      <sz val="10"/>
      <color rgb="FF707070"/>
      <name val="Arial"/>
      <family val="2"/>
    </font>
    <font>
      <b/>
      <i/>
      <sz val="10"/>
      <color rgb="FF2F6E2F"/>
      <name val="Arial"/>
      <family val="2"/>
    </font>
    <font>
      <b/>
      <sz val="11"/>
      <color rgb="FF1F2120"/>
      <name val="Arial"/>
      <family val="2"/>
    </font>
    <font>
      <sz val="10.5"/>
      <color rgb="FF1F2120"/>
      <name val="Arial"/>
      <family val="2"/>
    </font>
    <font>
      <b/>
      <sz val="11"/>
      <color rgb="FFFFFFFF"/>
      <name val="Arial"/>
      <family val="2"/>
    </font>
    <font>
      <sz val="10.5"/>
      <color rgb="FFFFFFFF"/>
      <name val="Arial"/>
      <family val="2"/>
    </font>
    <font>
      <b/>
      <sz val="11"/>
      <color rgb="FFCF3338"/>
      <name val="Arial"/>
      <family val="2"/>
    </font>
    <font>
      <b/>
      <sz val="13"/>
      <color rgb="FFFFFFFF"/>
      <name val="Arial"/>
      <family val="2"/>
    </font>
    <font>
      <sz val="11"/>
      <color rgb="FF1F2120"/>
      <name val="Arial"/>
      <family val="2"/>
    </font>
    <font>
      <b/>
      <sz val="10"/>
      <color rgb="FFCF3338"/>
      <name val="Arial"/>
      <family val="2"/>
    </font>
    <font>
      <sz val="11"/>
      <color rgb="FF1F2120"/>
      <name val="Consolas"/>
      <family val="3"/>
    </font>
    <font>
      <b/>
      <sz val="11"/>
      <color rgb="FFFFFFFF"/>
      <name val="Arial"/>
      <family val="2"/>
    </font>
    <font>
      <b/>
      <sz val="13"/>
      <color rgb="FFCF3338"/>
      <name val="Arial"/>
      <family val="2"/>
    </font>
  </fonts>
  <fills count="8">
    <fill>
      <patternFill patternType="none"/>
    </fill>
    <fill>
      <patternFill patternType="gray125"/>
    </fill>
    <fill>
      <patternFill patternType="solid">
        <fgColor rgb="FFEFF5EC"/>
      </patternFill>
    </fill>
    <fill>
      <patternFill patternType="solid">
        <fgColor rgb="FFFBF3D6"/>
      </patternFill>
    </fill>
    <fill>
      <patternFill patternType="solid">
        <fgColor rgb="FFC00000"/>
      </patternFill>
    </fill>
    <fill>
      <patternFill patternType="solid">
        <fgColor rgb="FFEDE9DE"/>
      </patternFill>
    </fill>
    <fill>
      <patternFill patternType="solid">
        <fgColor rgb="FFCF3338"/>
      </patternFill>
    </fill>
    <fill>
      <patternFill patternType="solid">
        <fgColor rgb="FFF3F1EA"/>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vertical="top"/>
    </xf>
    <xf numFmtId="0" fontId="4" fillId="2" borderId="0" xfId="0" applyFont="1" applyFill="1" applyAlignment="1">
      <alignment vertical="center"/>
    </xf>
    <xf numFmtId="0" fontId="12" fillId="0" borderId="0" xfId="0" applyFont="1" applyAlignment="1">
      <alignment vertical="top" wrapText="1"/>
    </xf>
    <xf numFmtId="0" fontId="13" fillId="7" borderId="0" xfId="0" applyFont="1" applyFill="1" applyAlignment="1">
      <alignment vertical="top" wrapText="1"/>
    </xf>
    <xf numFmtId="0" fontId="14" fillId="6" borderId="0" xfId="0" applyFont="1" applyFill="1"/>
    <xf numFmtId="164" fontId="0" fillId="0" borderId="0" xfId="0" applyNumberFormat="1"/>
    <xf numFmtId="3" fontId="0" fillId="0" borderId="0" xfId="0" applyNumberFormat="1"/>
    <xf numFmtId="0" fontId="15" fillId="0" borderId="0" xfId="0" applyFont="1"/>
    <xf numFmtId="0" fontId="2" fillId="0" borderId="0" xfId="0" applyFont="1" applyAlignment="1">
      <alignment vertical="top" wrapText="1"/>
    </xf>
    <xf numFmtId="0" fontId="0" fillId="0" borderId="0" xfId="0"/>
    <xf numFmtId="0" fontId="3" fillId="0" borderId="0" xfId="0" applyFont="1" applyAlignment="1">
      <alignment vertical="top" wrapText="1"/>
    </xf>
    <xf numFmtId="0" fontId="10" fillId="6" borderId="0" xfId="0" applyFont="1" applyFill="1" applyAlignment="1">
      <alignment vertical="center" wrapText="1"/>
    </xf>
    <xf numFmtId="0" fontId="0" fillId="6" borderId="0" xfId="0" applyFill="1"/>
    <xf numFmtId="0" fontId="9" fillId="5" borderId="0" xfId="0" applyFont="1" applyFill="1" applyAlignment="1">
      <alignment vertical="center"/>
    </xf>
    <xf numFmtId="0" fontId="0" fillId="5" borderId="0" xfId="0" applyFill="1"/>
    <xf numFmtId="0" fontId="11" fillId="0" borderId="0" xfId="0" applyFont="1" applyAlignment="1">
      <alignment vertical="top" wrapText="1"/>
    </xf>
    <xf numFmtId="0" fontId="8" fillId="4" borderId="0" xfId="0" applyFont="1" applyFill="1" applyAlignment="1">
      <alignment vertical="top" wrapText="1"/>
    </xf>
    <xf numFmtId="0" fontId="0" fillId="4" borderId="0" xfId="0" applyFill="1"/>
    <xf numFmtId="0" fontId="7" fillId="4" borderId="0" xfId="0" applyFont="1" applyFill="1" applyAlignment="1">
      <alignment vertical="center" wrapText="1"/>
    </xf>
    <xf numFmtId="0" fontId="5" fillId="3" borderId="0" xfId="0" applyFont="1" applyFill="1" applyAlignment="1">
      <alignment vertical="center"/>
    </xf>
    <xf numFmtId="0" fontId="0" fillId="3" borderId="0" xfId="0" applyFill="1"/>
    <xf numFmtId="0" fontId="11" fillId="5" borderId="0" xfId="0" applyFont="1" applyFill="1" applyAlignment="1">
      <alignment vertical="top" wrapText="1"/>
    </xf>
    <xf numFmtId="0" fontId="6" fillId="3"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ichStyles" Target="richData/richStyles.xml"/><Relationship Id="rId18" Type="http://schemas.microsoft.com/office/2023/09/relationships/Python" Target="pytho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Array" Target="richData/rdarray.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microsoft.com/office/2017/06/relationships/rdSupportingPropertyBag" Target="richData/rdsupportingpropertybag.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 Id="rId14" Type="http://schemas.microsoft.com/office/2017/06/relationships/rdSupportingPropertyBagStructure" Target="richData/rdsupportingpropertybagstructure.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2">
  <a r="7" c="2">
    <v t="s"/>
    <v t="s">revenue</v>
    <v t="s">date</v>
    <v t="s"/>
    <v t="r">0</v>
    <v>116000</v>
    <v t="r">1</v>
    <v>112500</v>
    <v t="r">2</v>
    <v>133200</v>
    <v t="r">3</v>
    <v>143500</v>
    <v t="r">4</v>
    <v>138000</v>
  </a>
  <a r="13" c="3">
    <v t="s"/>
    <v t="s">revenue</v>
    <v t="s">rolling</v>
    <v t="s">date</v>
    <v t="s"/>
    <v t="s"/>
    <v t="r">8</v>
    <v>298100</v>
    <v>305616.66666666669</v>
    <v t="r">9</v>
    <v>296700</v>
    <v>309608.33333333331</v>
    <v t="r">10</v>
    <v>326600</v>
    <v>312316.66666666669</v>
    <v t="r">11</v>
    <v>332800</v>
    <v>315391.66666666669</v>
    <v t="r">12</v>
    <v>356100</v>
    <v>319791.66666666669</v>
    <v t="s">...</v>
    <v t="s">...</v>
    <v t="s">...</v>
    <v t="r">13</v>
    <v>319900</v>
    <v>329116.66666666669</v>
    <v t="r">14</v>
    <v>371100</v>
    <v>333400</v>
    <v t="r">15</v>
    <v>375200</v>
    <v>336925</v>
    <v t="r">16</v>
    <v>399700</v>
    <v>340791.66666666669</v>
    <v t="r">17</v>
    <v>425500</v>
    <v>345083.33333333331</v>
  </a>
  <a r="2">
    <v>580</v>
    <v>432</v>
  </a>
  <a r="2">
    <v>630</v>
    <v>470</v>
  </a>
  <a r="11" c="2">
    <v t="r">29</v>
    <v>346778.31609928777</v>
    <v t="r">30</v>
    <v>341924.58560126484</v>
    <v t="r">31</v>
    <v>375989.75822129659</v>
    <v t="r">32</v>
    <v>383916.0444150705</v>
    <v t="r">33</v>
    <v>401409.17151548882</v>
    <v t="s">...</v>
    <v t="s">...</v>
    <v t="r">34</v>
    <v>374561.47907110606</v>
    <v t="r">35</v>
    <v>420312.08873984846</v>
    <v t="r">36</v>
    <v>427432.06128523842</v>
    <v t="r">37</v>
    <v>449599.47849625314</v>
    <v t="r">38</v>
    <v>462825.8166091473</v>
  </a>
  <a r="2" c="2">
    <v t="s">Holt-Winters MAE</v>
    <v>17552</v>
    <v t="s">Baseline MAE</v>
    <v>41983</v>
  </a>
  <a r="11" c="2">
    <v t="r">29</v>
    <v>118.99805092732569</v>
    <v t="r">30</v>
    <v>120.10606432601419</v>
    <v t="r">31</v>
    <v>121.2140777247027</v>
    <v t="r">32</v>
    <v>122.3220911233912</v>
    <v t="r">33</v>
    <v>123.43010452207972</v>
    <v t="s">...</v>
    <v t="s">...</v>
    <v t="r">34</v>
    <v>126.75414471814523</v>
    <v t="r">35</v>
    <v>127.86215811683374</v>
    <v t="r">36</v>
    <v>128.97017151552225</v>
    <v t="r">37</v>
    <v>130.07818491421077</v>
    <v t="r">38</v>
    <v>131.18619831289925</v>
  </a>
  <a r="8" c="2">
    <v t="s">count</v>
    <v>10000</v>
    <v t="s">mean</v>
    <v>999.57280332631467</v>
    <v t="s">std</v>
    <v>200.69247610068081</v>
    <v t="s">min</v>
    <v>215.51994967633152</v>
    <v t="s">25%</v>
    <v>865.48189399857949</v>
    <v t="s">50%</v>
    <v>999.48100484142446</v>
    <v t="s">75%</v>
    <v>1134.216177572933</v>
    <v t="s">max</v>
    <v>1785.2475412872654</v>
  </a>
  <a r="8" c="2">
    <v t="s">count</v>
    <v>10000</v>
    <v t="s">mean</v>
    <v>14998.252053092408</v>
    <v t="s">std</v>
    <v>7463.739795284424</v>
    <v t="s">min</v>
    <v>-22224.002516183424</v>
    <v t="s">25%</v>
    <v>10274.094699928975</v>
    <v t="s">50%</v>
    <v>16974.050242071222</v>
    <v t="s">75%</v>
    <v>22000</v>
    <v t="s">max</v>
    <v>22000</v>
  </a>
  <a r="2" c="5">
    <v t="s"/>
    <v t="s">mean</v>
    <v t="s">p10</v>
    <v t="s">p90</v>
    <v t="s">prob_loss</v>
    <v>0</v>
    <v>14998</v>
    <v>4077</v>
    <v>22000</v>
    <v>4.5999999999999999E-2</v>
  </a>
  <a r="2">
    <v>580</v>
    <v>413</v>
  </a>
  <a r="4" c="5">
    <v t="s"/>
    <v t="s">inventory</v>
    <v t="s">mean</v>
    <v t="s">p10</v>
    <v t="s">prob_loss</v>
    <v>0</v>
    <v>900</v>
    <v>16007</v>
    <v>10077</v>
    <v>1.0999999999999999E-2</v>
    <v>1</v>
    <v>1100</v>
    <v>14998</v>
    <v>4077</v>
    <v>4.5999999999999999E-2</v>
    <v>2</v>
    <v>1300</v>
    <v>10681</v>
    <v>-1923</v>
    <v>0.13500000000000001</v>
  </a>
</arrayData>
</file>

<file path=xl/richData/rdrichvalue.xml><?xml version="1.0" encoding="utf-8"?>
<rvData xmlns="http://schemas.microsoft.com/office/spreadsheetml/2017/richdata" count="67">
  <rv s="0">
    <fb>43466</fb>
    <v>2</v>
  </rv>
  <rv s="0">
    <fb>43497</fb>
    <v>2</v>
  </rv>
  <rv s="0">
    <fb>43525</fb>
    <v>2</v>
  </rv>
  <rv s="0">
    <fb>43556</fb>
    <v>2</v>
  </rv>
  <rv s="0">
    <fb>43586</fb>
    <v>2</v>
  </rv>
  <rv s="1">
    <v>0</v>
  </rv>
  <rv s="2">
    <v>DataFrame</v>
    <v>1</v>
    <v>5</v>
  </rv>
  <rv s="3">
    <v>&lt;class 'pandas.core.frame.DataFrame'&gt;</v>
    <v>DataFrame</v>
    <v xml:space="preserve">            revenue
date               
2019-01-01   116000
2019-02-01   112500
2019-03-01   133200
2019-04-01   143500
2019-05-01   138000</v>
    <v>6</v>
    <v>3</v>
  </rv>
  <rv s="0">
    <fb>45292</fb>
    <v>2</v>
  </rv>
  <rv s="0">
    <fb>45323</fb>
    <v>2</v>
  </rv>
  <rv s="0">
    <fb>45352</fb>
    <v>2</v>
  </rv>
  <rv s="0">
    <fb>45383</fb>
    <v>2</v>
  </rv>
  <rv s="0">
    <fb>45413</fb>
    <v>2</v>
  </rv>
  <rv s="0">
    <fb>45505</fb>
    <v>2</v>
  </rv>
  <rv s="0">
    <fb>45536</fb>
    <v>2</v>
  </rv>
  <rv s="0">
    <fb>45566</fb>
    <v>2</v>
  </rv>
  <rv s="0">
    <fb>45597</fb>
    <v>2</v>
  </rv>
  <rv s="0">
    <fb>45627</fb>
    <v>2</v>
  </rv>
  <rv s="1">
    <v>1</v>
  </rv>
  <rv s="2">
    <v>DataFrame</v>
    <v>5</v>
    <v>18</v>
  </rv>
  <rv s="3">
    <v>&lt;class 'pandas.core.frame.DataFrame'&gt;</v>
    <v>DataFrame</v>
    <v xml:space="preserve">            revenue        rolling
date                              
2024-01-01   298100  305616.666667
2024-02-01   296700  309608.333333
2024-03-01   326600  312316.666667
2024-04-01   332800  315391.666667
2024-05-01   356100  319791.666667
2024-06...</v>
    <v>19</v>
    <v>3</v>
  </rv>
  <rv s="4">
    <v>0</v>
    <v>9</v>
  </rv>
  <rv s="1">
    <v>2</v>
  </rv>
  <rv s="5">
    <v>Image</v>
    <v>6</v>
    <v>21</v>
    <v>22</v>
  </rv>
  <rv s="3">
    <v>&lt;class 'PIL.PngImagePlugin.PngImageFile'&gt;</v>
    <v>PngImageFile</v>
    <v>&lt;PIL.PngImagePlugin.PngImageFile image mode=RGBA size=580x432 at 0x7F22A09B2DB0&gt;</v>
    <v>23</v>
    <v>3</v>
  </rv>
  <rv s="4">
    <v>1</v>
    <v>9</v>
  </rv>
  <rv s="1">
    <v>3</v>
  </rv>
  <rv s="5">
    <v>Image</v>
    <v>6</v>
    <v>25</v>
    <v>26</v>
  </rv>
  <rv s="3">
    <v>&lt;class 'PIL.PngImagePlugin.PngImageFile'&gt;</v>
    <v>PngImageFile</v>
    <v>&lt;PIL.PngImagePlugin.PngImageFile image mode=RGBA size=630x470 at 0x7F2296F40B30&gt;</v>
    <v>27</v>
    <v>3</v>
  </rv>
  <rv s="0">
    <fb>45658</fb>
    <v>2</v>
  </rv>
  <rv s="0">
    <fb>45689</fb>
    <v>2</v>
  </rv>
  <rv s="0">
    <fb>45717</fb>
    <v>2</v>
  </rv>
  <rv s="0">
    <fb>45748</fb>
    <v>2</v>
  </rv>
  <rv s="0">
    <fb>45778</fb>
    <v>2</v>
  </rv>
  <rv s="0">
    <fb>45870</fb>
    <v>2</v>
  </rv>
  <rv s="0">
    <fb>45901</fb>
    <v>2</v>
  </rv>
  <rv s="0">
    <fb>45931</fb>
    <v>2</v>
  </rv>
  <rv s="0">
    <fb>45962</fb>
    <v>2</v>
  </rv>
  <rv s="0">
    <fb>45992</fb>
    <v>2</v>
  </rv>
  <rv s="1">
    <v>4</v>
  </rv>
  <rv s="2">
    <v>Series</v>
    <v>8</v>
    <v>39</v>
  </rv>
  <rv s="3">
    <v>&lt;class 'pandas.core.series.Series'&gt;</v>
    <v>Series</v>
    <v>2025-01-01    346778.316099
2025-02-01    341924.585601
2025-03-01    375989.758221
2025-04-01    383916.044415
2025-05-01    401409.171515
2025-06-01    381123.992333
2025-07-01    361825.033115
2025-08-01    374561.479071
2025-09-01    420312.088740
...</v>
    <v>40</v>
    <v>3</v>
  </rv>
  <rv s="1">
    <v>5</v>
  </rv>
  <rv s="2">
    <v>Series</v>
    <v>10</v>
    <v>42</v>
  </rv>
  <rv s="3">
    <v>&lt;class 'pandas.core.series.Series'&gt;</v>
    <v>Series</v>
    <v>Holt-Winters MAE    17552
Baseline MAE        41983
dtype: int64</v>
    <v>43</v>
    <v>3</v>
  </rv>
  <rv s="4">
    <v>2</v>
    <v>9</v>
  </rv>
  <rv s="5">
    <v>Image</v>
    <v>6</v>
    <v>45</v>
    <v>26</v>
  </rv>
  <rv s="3">
    <v>&lt;class 'PIL.PngImagePlugin.PngImageFile'&gt;</v>
    <v>PngImageFile</v>
    <v>&lt;PIL.PngImagePlugin.PngImageFile image mode=RGBA size=630x470 at 0x7F229863A480&gt;</v>
    <v>46</v>
    <v>3</v>
  </rv>
  <rv s="1">
    <v>6</v>
  </rv>
  <rv s="2">
    <v>Series</v>
    <v>8</v>
    <v>48</v>
  </rv>
  <rv s="3">
    <v>&lt;class 'pandas.core.series.Series'&gt;</v>
    <v>Series</v>
    <v>2025-01-01    118.998051
2025-02-01    120.106064
2025-03-01    121.214078
2025-04-01    122.322091
2025-05-01    123.430105
2025-06-01    124.538118
2025-07-01    125.646131
2025-08-01    126.754145
2025-09-01    127.862158
2025-10-01    128.970172
20...</v>
    <v>49</v>
    <v>3</v>
  </rv>
  <rv s="1">
    <v>7</v>
  </rv>
  <rv s="2">
    <v>Series</v>
    <v>12</v>
    <v>51</v>
  </rv>
  <rv s="3">
    <v>&lt;class 'pandas.core.series.Series'&gt;</v>
    <v>Series</v>
    <v>count    10000.000000
mean       999.572803
std        200.692476
min        215.519950
25%        865.481894
50%        999.481005
75%       1134.216178
max       1785.247541
dtype: float64</v>
    <v>52</v>
    <v>3</v>
  </rv>
  <rv s="1">
    <v>8</v>
  </rv>
  <rv s="2">
    <v>Series</v>
    <v>12</v>
    <v>54</v>
  </rv>
  <rv s="3">
    <v>&lt;class 'pandas.core.series.Series'&gt;</v>
    <v>Series</v>
    <v>count    10000.000000
mean     14998.252053
std       7463.739795
min     -22224.002516
25%      10274.094700
50%      16974.050242
75%      22000.000000
max      22000.000000
dtype: float64</v>
    <v>55</v>
    <v>3</v>
  </rv>
  <rv s="1">
    <v>9</v>
  </rv>
  <rv s="2">
    <v>DataFrame</v>
    <v>14</v>
    <v>57</v>
  </rv>
  <rv s="3">
    <v>&lt;class 'pandas.core.frame.DataFrame'&gt;</v>
    <v>DataFrame</v>
    <v xml:space="preserve">    mean   p10    p90  prob_loss
0  14998  4077  22000      0.046</v>
    <v>58</v>
    <v>3</v>
  </rv>
  <rv s="4">
    <v>3</v>
    <v>9</v>
  </rv>
  <rv s="1">
    <v>10</v>
  </rv>
  <rv s="5">
    <v>Image</v>
    <v>6</v>
    <v>60</v>
    <v>61</v>
  </rv>
  <rv s="3">
    <v>&lt;class 'PIL.PngImagePlugin.PngImageFile'&gt;</v>
    <v>PngImageFile</v>
    <v>&lt;PIL.PngImagePlugin.PngImageFile image mode=RGBA size=580x413 at 0x7F22966FD400&gt;</v>
    <v>62</v>
    <v>3</v>
  </rv>
  <rv s="1">
    <v>11</v>
  </rv>
  <rv s="2">
    <v>DataFrame</v>
    <v>16</v>
    <v>64</v>
  </rv>
  <rv s="3">
    <v>&lt;class 'pandas.core.frame.DataFrame'&gt;</v>
    <v>DataFrame</v>
    <v xml:space="preserve">   inventory   mean    p10  prob_loss
0        900  16007  10077      0.011
1       1100  14998   4077      0.046
2       1300  10681  -1923      0.135</v>
    <v>65</v>
    <v>3</v>
  </rv>
</rvData>
</file>

<file path=xl/richData/rdrichvaluestructure.xml><?xml version="1.0" encoding="utf-8"?>
<rvStructures xmlns="http://schemas.microsoft.com/office/spreadsheetml/2017/richdata" count="6">
  <s t="_formattednumber">
    <k n="_Format" t="spb"/>
  </s>
  <s t="_array">
    <k n="array" t="a"/>
  </s>
  <s t="_entity">
    <k n="_DisplayString" t="s"/>
    <k n="_ViewInfo" t="spb"/>
    <k n="arrayPreview" t="r"/>
  </s>
  <s t="_python">
    <k n="Python_type" t="s"/>
    <k n="Python_typeName" t="s"/>
    <k n="Python_str" t="s"/>
    <k n="preview" t="r"/>
    <k n="_Provider" t="spb"/>
  </s>
  <s t="_localImage">
    <k n="_rvRel:LocalImageIdentifier" t="i"/>
    <k n="CalcOrigin" t="i"/>
  </s>
  <s t="_entity">
    <k n="_DisplayString" t="s"/>
    <k n="_Format" t="spb"/>
    <k n="image" t="r"/>
    <k n="size" t="r"/>
  </s>
</rvStructures>
</file>

<file path=xl/richData/rdsupportingpropertybag.xml><?xml version="1.0" encoding="utf-8"?>
<supportingPropertyBags xmlns="http://schemas.microsoft.com/office/spreadsheetml/2017/richdata2">
  <spbData count="17">
    <spb s="0">
      <v>5</v>
      <v>1</v>
      <v>DataFrame</v>
      <v>arrayPreview</v>
      <v>1</v>
    </spb>
    <spb s="1">
      <v>0</v>
    </spb>
    <spb s="2">
      <v>1</v>
    </spb>
    <spb s="3">
      <v>https://www.anaconda.com/excel</v>
      <v>https://res.cdn.office.net/officepysvc/prod-preview/anacondalogo.png</v>
      <v>Python provided by Anaconda</v>
    </spb>
    <spb s="0">
      <v>12</v>
      <v>2</v>
      <v>DataFrame</v>
      <v>arrayPreview</v>
      <v>1</v>
    </spb>
    <spb s="1">
      <v>4</v>
    </spb>
    <spb s="4">
      <v>2</v>
    </spb>
    <spb s="5">
      <v>12</v>
      <v>1</v>
      <v>Series</v>
      <v>arrayPreview</v>
    </spb>
    <spb s="1">
      <v>7</v>
    </spb>
    <spb s="5">
      <v>2</v>
      <v>1</v>
      <v>Series</v>
      <v>arrayPreview</v>
    </spb>
    <spb s="1">
      <v>9</v>
    </spb>
    <spb s="5">
      <v>8</v>
      <v>1</v>
      <v>Series</v>
      <v>arrayPreview</v>
    </spb>
    <spb s="1">
      <v>11</v>
    </spb>
    <spb s="0">
      <v>1</v>
      <v>4</v>
      <v>DataFrame</v>
      <v>arrayPreview</v>
      <v>1</v>
    </spb>
    <spb s="1">
      <v>13</v>
    </spb>
    <spb s="0">
      <v>3</v>
      <v>4</v>
      <v>DataFrame</v>
      <v>arrayPreview</v>
      <v>1</v>
    </spb>
    <spb s="1">
      <v>15</v>
    </spb>
  </spbData>
</supportingPropertyBags>
</file>

<file path=xl/richData/rdsupportingpropertybagstructure.xml><?xml version="1.0" encoding="utf-8"?>
<spbStructures xmlns="http://schemas.microsoft.com/office/spreadsheetml/2017/richdata2" count="6">
  <s>
    <k n="drw" t="i"/>
    <k n="dcol" t="i"/>
    <k n="name" t="s"/>
    <k n="array" t="s"/>
    <k n="headers" t="b"/>
  </s>
  <s>
    <k n="ArrayCardInfo" t="spb"/>
  </s>
  <s>
    <k n="_Self" t="i"/>
  </s>
  <s>
    <k n="link" t="s"/>
    <k n="logo" t="s"/>
    <k n="name" t="s"/>
  </s>
  <s>
    <k n="image" t="i"/>
  </s>
  <s>
    <k n="drw" t="i"/>
    <k n="dcol" t="i"/>
    <k n="name" t="s"/>
    <k n="array"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19" formatCode="m/d/yyyy"/>
    </x:dxf>
  </dxfs>
  <richProperties>
    <rPr n="IsHeroField" t="b"/>
  </richProperties>
  <richStyles>
    <rSty dxfid="0"/>
    <rSty>
      <rpv i="0">1</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enue" displayName="revenue" ref="A1:B73">
  <autoFilter ref="A1:B73" xr:uid="{00000000-0009-0000-0100-000001000000}"/>
  <tableColumns count="2">
    <tableColumn id="1" xr3:uid="{00000000-0010-0000-0000-000001000000}" name="date"/>
    <tableColumn id="2" xr3:uid="{00000000-0010-0000-0000-000002000000}" name="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ookings" displayName="bookings" ref="A1:B73">
  <autoFilter ref="A1:B73" xr:uid="{00000000-0009-0000-0100-000002000000}"/>
  <tableColumns count="2">
    <tableColumn id="1" xr3:uid="{00000000-0010-0000-0100-000001000000}" name="date"/>
    <tableColumn id="2" xr3:uid="{00000000-0010-0000-0100-000002000000}" name="bookings"/>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ssumptions" displayName="assumptions" ref="A3:B10">
  <autoFilter ref="A3:B10" xr:uid="{00000000-0009-0000-0100-000003000000}"/>
  <tableColumns count="2">
    <tableColumn id="1" xr3:uid="{00000000-0010-0000-0200-000001000000}" name="demand_mean"/>
    <tableColumn id="2" xr3:uid="{00000000-0010-0000-0200-000002000000}" name="100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F3338"/>
  </sheetPr>
  <dimension ref="B1:E135"/>
  <sheetViews>
    <sheetView showGridLines="0" tabSelected="1" workbookViewId="0">
      <selection activeCell="B1" sqref="B1"/>
    </sheetView>
  </sheetViews>
  <sheetFormatPr defaultRowHeight="14.25" x14ac:dyDescent="0.45"/>
  <cols>
    <col min="1" max="1" width="2.46484375" customWidth="1"/>
    <col min="2" max="2" width="15" customWidth="1"/>
    <col min="3" max="3" width="78" customWidth="1"/>
    <col min="4" max="4" width="2" customWidth="1"/>
    <col min="5" max="5" width="13" customWidth="1"/>
  </cols>
  <sheetData>
    <row r="1" spans="2:5" ht="28.05" customHeight="1" x14ac:dyDescent="0.45">
      <c r="B1" s="1" t="s">
        <v>0</v>
      </c>
    </row>
    <row r="2" spans="2:5" ht="30" customHeight="1" x14ac:dyDescent="0.45">
      <c r="B2" s="9" t="s">
        <v>1</v>
      </c>
      <c r="C2" s="10"/>
    </row>
    <row r="3" spans="2:5" ht="30" customHeight="1" x14ac:dyDescent="0.45">
      <c r="B3" s="11" t="s">
        <v>2</v>
      </c>
      <c r="C3" s="10"/>
    </row>
    <row r="4" spans="2:5" ht="18" customHeight="1" x14ac:dyDescent="0.45">
      <c r="E4" s="2" t="s">
        <v>3</v>
      </c>
    </row>
    <row r="6" spans="2:5" ht="18" customHeight="1" x14ac:dyDescent="0.45">
      <c r="B6" s="20" t="s">
        <v>4</v>
      </c>
      <c r="C6" s="21"/>
    </row>
    <row r="7" spans="2:5" ht="46.05" customHeight="1" x14ac:dyDescent="0.45">
      <c r="B7" s="23" t="s">
        <v>5</v>
      </c>
      <c r="C7" s="21"/>
    </row>
    <row r="9" spans="2:5" ht="20" customHeight="1" x14ac:dyDescent="0.45">
      <c r="B9" s="19" t="s">
        <v>6</v>
      </c>
      <c r="C9" s="18"/>
    </row>
    <row r="10" spans="2:5" ht="56" customHeight="1" x14ac:dyDescent="0.45">
      <c r="B10" s="17" t="s">
        <v>7</v>
      </c>
      <c r="C10" s="18"/>
    </row>
    <row r="12" spans="2:5" ht="18" customHeight="1" x14ac:dyDescent="0.45">
      <c r="B12" s="14" t="s">
        <v>8</v>
      </c>
      <c r="C12" s="15"/>
    </row>
    <row r="14" spans="2:5" ht="22.05" customHeight="1" x14ac:dyDescent="0.45">
      <c r="B14" s="12" t="s">
        <v>9</v>
      </c>
      <c r="C14" s="13"/>
    </row>
    <row r="15" spans="2:5" ht="33" customHeight="1" x14ac:dyDescent="0.45">
      <c r="B15" s="16" t="s">
        <v>10</v>
      </c>
      <c r="C15" s="10"/>
    </row>
    <row r="16" spans="2:5" ht="113" customHeight="1" x14ac:dyDescent="0.45">
      <c r="B16" s="3" t="s">
        <v>11</v>
      </c>
      <c r="C16" s="4" t="s">
        <v>12</v>
      </c>
      <c r="E16" t="e" cm="1" vm="1">
        <f t="array" ref="E16">_xlfn._xlws.PY(0,1,revenue[#All])</f>
        <v>#VALUE!</v>
      </c>
    </row>
    <row r="17" spans="2:5" ht="18" customHeight="1" x14ac:dyDescent="0.45">
      <c r="B17" s="11" t="s">
        <v>13</v>
      </c>
      <c r="C17" s="10"/>
    </row>
    <row r="26" spans="2:5" ht="22.05" customHeight="1" x14ac:dyDescent="0.45">
      <c r="B26" s="12" t="s">
        <v>14</v>
      </c>
      <c r="C26" s="13"/>
    </row>
    <row r="27" spans="2:5" ht="21" customHeight="1" x14ac:dyDescent="0.45">
      <c r="B27" s="16" t="s">
        <v>15</v>
      </c>
      <c r="C27" s="10"/>
    </row>
    <row r="28" spans="2:5" ht="53" customHeight="1" x14ac:dyDescent="0.45">
      <c r="B28" s="3" t="s">
        <v>11</v>
      </c>
      <c r="C28" s="4" t="s">
        <v>16</v>
      </c>
      <c r="E28" t="e" cm="1" vm="2">
        <f t="array" ref="E28">_xlfn._xlws.PY(1,1)</f>
        <v>#VALUE!</v>
      </c>
    </row>
    <row r="29" spans="2:5" ht="18" customHeight="1" x14ac:dyDescent="0.45">
      <c r="B29" s="11" t="s">
        <v>17</v>
      </c>
      <c r="C29" s="10"/>
    </row>
    <row r="30" spans="2:5" ht="68" customHeight="1" x14ac:dyDescent="0.45">
      <c r="B30" s="3" t="s">
        <v>18</v>
      </c>
      <c r="C30" s="4" t="s">
        <v>19</v>
      </c>
      <c r="E30" t="e" cm="1" vm="3">
        <f t="array" ref="E30">_xlfn._xlws.PY(2,1)</f>
        <v>#VALUE!</v>
      </c>
    </row>
    <row r="39" spans="2:5" ht="22.05" customHeight="1" x14ac:dyDescent="0.45">
      <c r="B39" s="12" t="s">
        <v>20</v>
      </c>
      <c r="C39" s="13"/>
    </row>
    <row r="40" spans="2:5" ht="21" customHeight="1" x14ac:dyDescent="0.45">
      <c r="B40" s="16" t="s">
        <v>21</v>
      </c>
      <c r="C40" s="10"/>
    </row>
    <row r="41" spans="2:5" ht="68" customHeight="1" x14ac:dyDescent="0.45">
      <c r="B41" s="3" t="s">
        <v>11</v>
      </c>
      <c r="C41" s="4" t="s">
        <v>22</v>
      </c>
      <c r="E41" t="e" cm="1" vm="4">
        <f t="array" ref="E41">_xlfn._xlws.PY(3,1)</f>
        <v>#VALUE!</v>
      </c>
    </row>
    <row r="42" spans="2:5" ht="30" customHeight="1" x14ac:dyDescent="0.45">
      <c r="B42" s="11" t="s">
        <v>23</v>
      </c>
      <c r="C42" s="10"/>
    </row>
    <row r="51" spans="2:5" ht="22.05" customHeight="1" x14ac:dyDescent="0.45">
      <c r="B51" s="12" t="s">
        <v>24</v>
      </c>
      <c r="C51" s="13"/>
    </row>
    <row r="52" spans="2:5" ht="21" customHeight="1" x14ac:dyDescent="0.45">
      <c r="B52" s="16" t="s">
        <v>25</v>
      </c>
      <c r="C52" s="10"/>
    </row>
    <row r="53" spans="2:5" ht="173" customHeight="1" x14ac:dyDescent="0.45">
      <c r="B53" s="3" t="s">
        <v>11</v>
      </c>
      <c r="C53" s="4" t="s">
        <v>26</v>
      </c>
      <c r="E53" t="e" cm="1" vm="5">
        <f t="array" ref="E53">_xlfn._xlws.PY(4,1)</f>
        <v>#VALUE!</v>
      </c>
    </row>
    <row r="54" spans="2:5" ht="30" customHeight="1" x14ac:dyDescent="0.45">
      <c r="B54" s="11" t="s">
        <v>27</v>
      </c>
      <c r="C54" s="10"/>
    </row>
    <row r="63" spans="2:5" ht="22.05" customHeight="1" x14ac:dyDescent="0.45">
      <c r="B63" s="12" t="s">
        <v>28</v>
      </c>
      <c r="C63" s="13"/>
    </row>
    <row r="64" spans="2:5" ht="33" customHeight="1" x14ac:dyDescent="0.45">
      <c r="B64" s="16" t="s">
        <v>29</v>
      </c>
      <c r="C64" s="10"/>
    </row>
    <row r="65" spans="2:5" ht="188" customHeight="1" x14ac:dyDescent="0.45">
      <c r="B65" s="3" t="s">
        <v>11</v>
      </c>
      <c r="C65" s="4" t="s">
        <v>30</v>
      </c>
      <c r="E65" t="e" cm="1" vm="6">
        <f t="array" ref="E65">_xlfn._xlws.PY(5,1)</f>
        <v>#VALUE!</v>
      </c>
    </row>
    <row r="66" spans="2:5" ht="18" customHeight="1" x14ac:dyDescent="0.45">
      <c r="B66" s="11" t="s">
        <v>31</v>
      </c>
      <c r="C66" s="10"/>
    </row>
    <row r="75" spans="2:5" ht="22.05" customHeight="1" x14ac:dyDescent="0.45">
      <c r="B75" s="12" t="s">
        <v>32</v>
      </c>
      <c r="C75" s="13"/>
    </row>
    <row r="76" spans="2:5" ht="33" customHeight="1" x14ac:dyDescent="0.45">
      <c r="B76" s="16" t="s">
        <v>33</v>
      </c>
      <c r="C76" s="10"/>
    </row>
    <row r="77" spans="2:5" ht="83" customHeight="1" x14ac:dyDescent="0.45">
      <c r="B77" s="3" t="s">
        <v>11</v>
      </c>
      <c r="C77" s="4" t="s">
        <v>34</v>
      </c>
      <c r="E77" t="e" cm="1" vm="7">
        <f t="array" ref="E77">_xlfn._xlws.PY(6,1,bookings[#All])</f>
        <v>#VALUE!</v>
      </c>
    </row>
    <row r="78" spans="2:5" ht="18" customHeight="1" x14ac:dyDescent="0.45">
      <c r="B78" s="11" t="s">
        <v>35</v>
      </c>
      <c r="C78" s="10"/>
    </row>
    <row r="79" spans="2:5" ht="23" customHeight="1" x14ac:dyDescent="0.45">
      <c r="B79" s="3" t="s">
        <v>18</v>
      </c>
      <c r="C79" s="4" t="s">
        <v>36</v>
      </c>
      <c r="E79" t="e" cm="1" vm="8">
        <f t="array" ref="E79">_xlfn._xlws.PY(7,1)</f>
        <v>#VALUE!</v>
      </c>
    </row>
    <row r="88" spans="2:5" ht="18" customHeight="1" x14ac:dyDescent="0.45">
      <c r="B88" s="14" t="s">
        <v>37</v>
      </c>
      <c r="C88" s="15"/>
    </row>
    <row r="90" spans="2:5" ht="22.05" customHeight="1" x14ac:dyDescent="0.45">
      <c r="B90" s="12" t="s">
        <v>38</v>
      </c>
      <c r="C90" s="13"/>
    </row>
    <row r="91" spans="2:5" ht="21" customHeight="1" x14ac:dyDescent="0.45">
      <c r="B91" s="16" t="s">
        <v>39</v>
      </c>
      <c r="C91" s="10"/>
    </row>
    <row r="92" spans="2:5" ht="68" customHeight="1" x14ac:dyDescent="0.45">
      <c r="B92" s="3" t="s">
        <v>11</v>
      </c>
      <c r="C92" s="4" t="s">
        <v>40</v>
      </c>
      <c r="E92" t="e" cm="1" vm="9">
        <f t="array" ref="E92">_xlfn._xlws.PY(8,1)</f>
        <v>#VALUE!</v>
      </c>
    </row>
    <row r="93" spans="2:5" ht="18" customHeight="1" x14ac:dyDescent="0.45">
      <c r="B93" s="11" t="s">
        <v>41</v>
      </c>
      <c r="C93" s="10"/>
    </row>
    <row r="102" spans="2:5" ht="22.05" customHeight="1" x14ac:dyDescent="0.45">
      <c r="B102" s="12" t="s">
        <v>42</v>
      </c>
      <c r="C102" s="13"/>
    </row>
    <row r="103" spans="2:5" ht="21" customHeight="1" x14ac:dyDescent="0.45">
      <c r="B103" s="16" t="s">
        <v>43</v>
      </c>
      <c r="C103" s="10"/>
    </row>
    <row r="104" spans="2:5" ht="83" customHeight="1" x14ac:dyDescent="0.45">
      <c r="B104" s="3" t="s">
        <v>11</v>
      </c>
      <c r="C104" s="4" t="s">
        <v>44</v>
      </c>
      <c r="E104" t="e" cm="1" vm="10">
        <f t="array" ref="E104">_xlfn._xlws.PY(9,1)</f>
        <v>#VALUE!</v>
      </c>
    </row>
    <row r="105" spans="2:5" ht="18" customHeight="1" x14ac:dyDescent="0.45">
      <c r="B105" s="11" t="s">
        <v>45</v>
      </c>
      <c r="C105" s="10"/>
    </row>
    <row r="114" spans="2:5" ht="22.05" customHeight="1" x14ac:dyDescent="0.45">
      <c r="B114" s="12" t="s">
        <v>46</v>
      </c>
      <c r="C114" s="13"/>
    </row>
    <row r="115" spans="2:5" ht="21" customHeight="1" x14ac:dyDescent="0.45">
      <c r="B115" s="16" t="s">
        <v>47</v>
      </c>
      <c r="C115" s="10"/>
    </row>
    <row r="116" spans="2:5" ht="143" customHeight="1" x14ac:dyDescent="0.45">
      <c r="B116" s="3" t="s">
        <v>11</v>
      </c>
      <c r="C116" s="4" t="s">
        <v>48</v>
      </c>
      <c r="E116" t="e" cm="1" vm="11">
        <f t="array" ref="E116">_xlfn._xlws.PY(10,1)</f>
        <v>#VALUE!</v>
      </c>
    </row>
    <row r="117" spans="2:5" ht="18" customHeight="1" x14ac:dyDescent="0.45">
      <c r="B117" s="11" t="s">
        <v>49</v>
      </c>
      <c r="C117" s="10"/>
    </row>
    <row r="118" spans="2:5" ht="38" customHeight="1" x14ac:dyDescent="0.45">
      <c r="B118" s="3" t="s">
        <v>18</v>
      </c>
      <c r="C118" s="4" t="s">
        <v>50</v>
      </c>
      <c r="E118" t="e" cm="1" vm="12">
        <f t="array" ref="E118">_xlfn._xlws.PY(11,1)</f>
        <v>#VALUE!</v>
      </c>
    </row>
    <row r="127" spans="2:5" ht="22.05" customHeight="1" x14ac:dyDescent="0.45">
      <c r="B127" s="12" t="s">
        <v>51</v>
      </c>
      <c r="C127" s="13"/>
    </row>
    <row r="128" spans="2:5" ht="21" customHeight="1" x14ac:dyDescent="0.45">
      <c r="B128" s="16" t="s">
        <v>52</v>
      </c>
      <c r="C128" s="10"/>
    </row>
    <row r="129" spans="2:5" ht="158" customHeight="1" x14ac:dyDescent="0.45">
      <c r="B129" s="3" t="s">
        <v>11</v>
      </c>
      <c r="C129" s="4" t="s">
        <v>53</v>
      </c>
      <c r="E129" t="e" cm="1" vm="13">
        <f t="array" ref="E129">_xlfn._xlws.PY(12,1)</f>
        <v>#VALUE!</v>
      </c>
    </row>
    <row r="130" spans="2:5" ht="18" customHeight="1" x14ac:dyDescent="0.45">
      <c r="B130" s="11" t="s">
        <v>54</v>
      </c>
      <c r="C130" s="10"/>
    </row>
    <row r="134" spans="2:5" ht="18" customHeight="1" x14ac:dyDescent="0.45">
      <c r="B134" s="14" t="s">
        <v>55</v>
      </c>
      <c r="C134" s="15"/>
    </row>
    <row r="135" spans="2:5" ht="38" customHeight="1" x14ac:dyDescent="0.45">
      <c r="B135" s="22" t="s">
        <v>56</v>
      </c>
      <c r="C135" s="15"/>
    </row>
  </sheetData>
  <mergeCells count="40">
    <mergeCell ref="B91:C91"/>
    <mergeCell ref="B135:C135"/>
    <mergeCell ref="B54:C54"/>
    <mergeCell ref="B7:C7"/>
    <mergeCell ref="B90:C90"/>
    <mergeCell ref="B63:C63"/>
    <mergeCell ref="B26:C26"/>
    <mergeCell ref="B75:C75"/>
    <mergeCell ref="B3:C3"/>
    <mergeCell ref="B134:C134"/>
    <mergeCell ref="B115:C115"/>
    <mergeCell ref="B66:C66"/>
    <mergeCell ref="B93:C93"/>
    <mergeCell ref="B27:C27"/>
    <mergeCell ref="B102:C102"/>
    <mergeCell ref="B105:C105"/>
    <mergeCell ref="B12:C12"/>
    <mergeCell ref="B39:C39"/>
    <mergeCell ref="B52:C52"/>
    <mergeCell ref="B64:C64"/>
    <mergeCell ref="B15:C15"/>
    <mergeCell ref="B51:C51"/>
    <mergeCell ref="B76:C76"/>
    <mergeCell ref="B114:C114"/>
    <mergeCell ref="B2:C2"/>
    <mergeCell ref="B130:C130"/>
    <mergeCell ref="B117:C117"/>
    <mergeCell ref="B42:C42"/>
    <mergeCell ref="B14:C14"/>
    <mergeCell ref="B17:C17"/>
    <mergeCell ref="B88:C88"/>
    <mergeCell ref="B78:C78"/>
    <mergeCell ref="B29:C29"/>
    <mergeCell ref="B103:C103"/>
    <mergeCell ref="B128:C128"/>
    <mergeCell ref="B10:C10"/>
    <mergeCell ref="B127:C127"/>
    <mergeCell ref="B40:C40"/>
    <mergeCell ref="B9:C9"/>
    <mergeCell ref="B6:C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3"/>
  <sheetViews>
    <sheetView workbookViewId="0"/>
  </sheetViews>
  <sheetFormatPr defaultRowHeight="14.25" x14ac:dyDescent="0.45"/>
  <cols>
    <col min="1" max="2" width="14" customWidth="1"/>
  </cols>
  <sheetData>
    <row r="1" spans="1:2" x14ac:dyDescent="0.45">
      <c r="A1" s="5" t="s">
        <v>57</v>
      </c>
      <c r="B1" s="5" t="s">
        <v>58</v>
      </c>
    </row>
    <row r="2" spans="1:2" x14ac:dyDescent="0.45">
      <c r="A2" s="6">
        <v>43466</v>
      </c>
      <c r="B2" s="7">
        <v>116000</v>
      </c>
    </row>
    <row r="3" spans="1:2" x14ac:dyDescent="0.45">
      <c r="A3" s="6">
        <v>43497</v>
      </c>
      <c r="B3" s="7">
        <v>112500</v>
      </c>
    </row>
    <row r="4" spans="1:2" x14ac:dyDescent="0.45">
      <c r="A4" s="6">
        <v>43525</v>
      </c>
      <c r="B4" s="7">
        <v>133200</v>
      </c>
    </row>
    <row r="5" spans="1:2" x14ac:dyDescent="0.45">
      <c r="A5" s="6">
        <v>43556</v>
      </c>
      <c r="B5" s="7">
        <v>143500</v>
      </c>
    </row>
    <row r="6" spans="1:2" x14ac:dyDescent="0.45">
      <c r="A6" s="6">
        <v>43586</v>
      </c>
      <c r="B6" s="7">
        <v>138000</v>
      </c>
    </row>
    <row r="7" spans="1:2" x14ac:dyDescent="0.45">
      <c r="A7" s="6">
        <v>43617</v>
      </c>
      <c r="B7" s="7">
        <v>129200</v>
      </c>
    </row>
    <row r="8" spans="1:2" x14ac:dyDescent="0.45">
      <c r="A8" s="6">
        <v>43647</v>
      </c>
      <c r="B8" s="7">
        <v>135700</v>
      </c>
    </row>
    <row r="9" spans="1:2" x14ac:dyDescent="0.45">
      <c r="A9" s="6">
        <v>43678</v>
      </c>
      <c r="B9" s="7">
        <v>134800</v>
      </c>
    </row>
    <row r="10" spans="1:2" x14ac:dyDescent="0.45">
      <c r="A10" s="6">
        <v>43709</v>
      </c>
      <c r="B10" s="7">
        <v>151600</v>
      </c>
    </row>
    <row r="11" spans="1:2" x14ac:dyDescent="0.45">
      <c r="A11" s="6">
        <v>43739</v>
      </c>
      <c r="B11" s="7">
        <v>164700</v>
      </c>
    </row>
    <row r="12" spans="1:2" x14ac:dyDescent="0.45">
      <c r="A12" s="6">
        <v>43770</v>
      </c>
      <c r="B12" s="7">
        <v>167800</v>
      </c>
    </row>
    <row r="13" spans="1:2" x14ac:dyDescent="0.45">
      <c r="A13" s="6">
        <v>43800</v>
      </c>
      <c r="B13" s="7">
        <v>177700</v>
      </c>
    </row>
    <row r="14" spans="1:2" x14ac:dyDescent="0.45">
      <c r="A14" s="6">
        <v>43831</v>
      </c>
      <c r="B14" s="7">
        <v>151100</v>
      </c>
    </row>
    <row r="15" spans="1:2" x14ac:dyDescent="0.45">
      <c r="A15" s="6">
        <v>43862</v>
      </c>
      <c r="B15" s="7">
        <v>136900</v>
      </c>
    </row>
    <row r="16" spans="1:2" x14ac:dyDescent="0.45">
      <c r="A16" s="6">
        <v>43891</v>
      </c>
      <c r="B16" s="7">
        <v>157700</v>
      </c>
    </row>
    <row r="17" spans="1:2" x14ac:dyDescent="0.45">
      <c r="A17" s="6">
        <v>43922</v>
      </c>
      <c r="B17" s="7">
        <v>170300</v>
      </c>
    </row>
    <row r="18" spans="1:2" x14ac:dyDescent="0.45">
      <c r="A18" s="6">
        <v>43952</v>
      </c>
      <c r="B18" s="7">
        <v>174200</v>
      </c>
    </row>
    <row r="19" spans="1:2" x14ac:dyDescent="0.45">
      <c r="A19" s="6">
        <v>43983</v>
      </c>
      <c r="B19" s="7">
        <v>170500</v>
      </c>
    </row>
    <row r="20" spans="1:2" x14ac:dyDescent="0.45">
      <c r="A20" s="6">
        <v>44013</v>
      </c>
      <c r="B20" s="7">
        <v>155000</v>
      </c>
    </row>
    <row r="21" spans="1:2" x14ac:dyDescent="0.45">
      <c r="A21" s="6">
        <v>44044</v>
      </c>
      <c r="B21" s="7">
        <v>156600</v>
      </c>
    </row>
    <row r="22" spans="1:2" x14ac:dyDescent="0.45">
      <c r="A22" s="6">
        <v>44075</v>
      </c>
      <c r="B22" s="7">
        <v>206100</v>
      </c>
    </row>
    <row r="23" spans="1:2" x14ac:dyDescent="0.45">
      <c r="A23" s="6">
        <v>44105</v>
      </c>
      <c r="B23" s="7">
        <v>202400</v>
      </c>
    </row>
    <row r="24" spans="1:2" x14ac:dyDescent="0.45">
      <c r="A24" s="6">
        <v>44136</v>
      </c>
      <c r="B24" s="7">
        <v>215600</v>
      </c>
    </row>
    <row r="25" spans="1:2" x14ac:dyDescent="0.45">
      <c r="A25" s="6">
        <v>44166</v>
      </c>
      <c r="B25" s="7">
        <v>217400</v>
      </c>
    </row>
    <row r="26" spans="1:2" x14ac:dyDescent="0.45">
      <c r="A26" s="6">
        <v>44197</v>
      </c>
      <c r="B26" s="7">
        <v>183300</v>
      </c>
    </row>
    <row r="27" spans="1:2" x14ac:dyDescent="0.45">
      <c r="A27" s="6">
        <v>44228</v>
      </c>
      <c r="B27" s="7">
        <v>186600</v>
      </c>
    </row>
    <row r="28" spans="1:2" x14ac:dyDescent="0.45">
      <c r="A28" s="6">
        <v>44256</v>
      </c>
      <c r="B28" s="7">
        <v>202000</v>
      </c>
    </row>
    <row r="29" spans="1:2" x14ac:dyDescent="0.45">
      <c r="A29" s="6">
        <v>44287</v>
      </c>
      <c r="B29" s="7">
        <v>217400</v>
      </c>
    </row>
    <row r="30" spans="1:2" x14ac:dyDescent="0.45">
      <c r="A30" s="6">
        <v>44317</v>
      </c>
      <c r="B30" s="7">
        <v>218800</v>
      </c>
    </row>
    <row r="31" spans="1:2" x14ac:dyDescent="0.45">
      <c r="A31" s="6">
        <v>44348</v>
      </c>
      <c r="B31" s="7">
        <v>204900</v>
      </c>
    </row>
    <row r="32" spans="1:2" x14ac:dyDescent="0.45">
      <c r="A32" s="6">
        <v>44378</v>
      </c>
      <c r="B32" s="7">
        <v>193000</v>
      </c>
    </row>
    <row r="33" spans="1:2" x14ac:dyDescent="0.45">
      <c r="A33" s="6">
        <v>44409</v>
      </c>
      <c r="B33" s="7">
        <v>214200</v>
      </c>
    </row>
    <row r="34" spans="1:2" x14ac:dyDescent="0.45">
      <c r="A34" s="6">
        <v>44440</v>
      </c>
      <c r="B34" s="7">
        <v>238900</v>
      </c>
    </row>
    <row r="35" spans="1:2" x14ac:dyDescent="0.45">
      <c r="A35" s="6">
        <v>44470</v>
      </c>
      <c r="B35" s="7">
        <v>240300</v>
      </c>
    </row>
    <row r="36" spans="1:2" x14ac:dyDescent="0.45">
      <c r="A36" s="6">
        <v>44501</v>
      </c>
      <c r="B36" s="7">
        <v>265400</v>
      </c>
    </row>
    <row r="37" spans="1:2" x14ac:dyDescent="0.45">
      <c r="A37" s="6">
        <v>44531</v>
      </c>
      <c r="B37" s="7">
        <v>265300</v>
      </c>
    </row>
    <row r="38" spans="1:2" x14ac:dyDescent="0.45">
      <c r="A38" s="6">
        <v>44562</v>
      </c>
      <c r="B38" s="7">
        <v>225900</v>
      </c>
    </row>
    <row r="39" spans="1:2" x14ac:dyDescent="0.45">
      <c r="A39" s="6">
        <v>44593</v>
      </c>
      <c r="B39" s="7">
        <v>210200</v>
      </c>
    </row>
    <row r="40" spans="1:2" x14ac:dyDescent="0.45">
      <c r="A40" s="6">
        <v>44621</v>
      </c>
      <c r="B40" s="7">
        <v>241900</v>
      </c>
    </row>
    <row r="41" spans="1:2" x14ac:dyDescent="0.45">
      <c r="A41" s="6">
        <v>44652</v>
      </c>
      <c r="B41" s="7">
        <v>257800</v>
      </c>
    </row>
    <row r="42" spans="1:2" x14ac:dyDescent="0.45">
      <c r="A42" s="6">
        <v>44682</v>
      </c>
      <c r="B42" s="7">
        <v>269800</v>
      </c>
    </row>
    <row r="43" spans="1:2" x14ac:dyDescent="0.45">
      <c r="A43" s="6">
        <v>44713</v>
      </c>
      <c r="B43" s="7">
        <v>246700</v>
      </c>
    </row>
    <row r="44" spans="1:2" x14ac:dyDescent="0.45">
      <c r="A44" s="6">
        <v>44743</v>
      </c>
      <c r="B44" s="7">
        <v>232500</v>
      </c>
    </row>
    <row r="45" spans="1:2" x14ac:dyDescent="0.45">
      <c r="A45" s="6">
        <v>44774</v>
      </c>
      <c r="B45" s="7">
        <v>236900</v>
      </c>
    </row>
    <row r="46" spans="1:2" x14ac:dyDescent="0.45">
      <c r="A46" s="6">
        <v>44805</v>
      </c>
      <c r="B46" s="7">
        <v>272300</v>
      </c>
    </row>
    <row r="47" spans="1:2" x14ac:dyDescent="0.45">
      <c r="A47" s="6">
        <v>44835</v>
      </c>
      <c r="B47" s="7">
        <v>286200</v>
      </c>
    </row>
    <row r="48" spans="1:2" x14ac:dyDescent="0.45">
      <c r="A48" s="6">
        <v>44866</v>
      </c>
      <c r="B48" s="7">
        <v>302400</v>
      </c>
    </row>
    <row r="49" spans="1:2" x14ac:dyDescent="0.45">
      <c r="A49" s="6">
        <v>44896</v>
      </c>
      <c r="B49" s="7">
        <v>327100</v>
      </c>
    </row>
    <row r="50" spans="1:2" x14ac:dyDescent="0.45">
      <c r="A50" s="6">
        <v>44927</v>
      </c>
      <c r="B50" s="7">
        <v>264900</v>
      </c>
    </row>
    <row r="51" spans="1:2" x14ac:dyDescent="0.45">
      <c r="A51" s="6">
        <v>44958</v>
      </c>
      <c r="B51" s="7">
        <v>248800</v>
      </c>
    </row>
    <row r="52" spans="1:2" x14ac:dyDescent="0.45">
      <c r="A52" s="6">
        <v>44986</v>
      </c>
      <c r="B52" s="7">
        <v>294100</v>
      </c>
    </row>
    <row r="53" spans="1:2" x14ac:dyDescent="0.45">
      <c r="A53" s="6">
        <v>45017</v>
      </c>
      <c r="B53" s="7">
        <v>295900</v>
      </c>
    </row>
    <row r="54" spans="1:2" x14ac:dyDescent="0.45">
      <c r="A54" s="6">
        <v>45047</v>
      </c>
      <c r="B54" s="7">
        <v>303300</v>
      </c>
    </row>
    <row r="55" spans="1:2" x14ac:dyDescent="0.45">
      <c r="A55" s="6">
        <v>45078</v>
      </c>
      <c r="B55" s="7">
        <v>288600</v>
      </c>
    </row>
    <row r="56" spans="1:2" x14ac:dyDescent="0.45">
      <c r="A56" s="6">
        <v>45108</v>
      </c>
      <c r="B56" s="7">
        <v>276600</v>
      </c>
    </row>
    <row r="57" spans="1:2" x14ac:dyDescent="0.45">
      <c r="A57" s="6">
        <v>45139</v>
      </c>
      <c r="B57" s="7">
        <v>282100</v>
      </c>
    </row>
    <row r="58" spans="1:2" x14ac:dyDescent="0.45">
      <c r="A58" s="6">
        <v>45170</v>
      </c>
      <c r="B58" s="7">
        <v>319700</v>
      </c>
    </row>
    <row r="59" spans="1:2" x14ac:dyDescent="0.45">
      <c r="A59" s="6">
        <v>45200</v>
      </c>
      <c r="B59" s="7">
        <v>332900</v>
      </c>
    </row>
    <row r="60" spans="1:2" x14ac:dyDescent="0.45">
      <c r="A60" s="6">
        <v>45231</v>
      </c>
      <c r="B60" s="7">
        <v>353300</v>
      </c>
    </row>
    <row r="61" spans="1:2" x14ac:dyDescent="0.45">
      <c r="A61" s="6">
        <v>45261</v>
      </c>
      <c r="B61" s="7">
        <v>374000</v>
      </c>
    </row>
    <row r="62" spans="1:2" x14ac:dyDescent="0.45">
      <c r="A62" s="6">
        <v>45292</v>
      </c>
      <c r="B62" s="7">
        <v>298100</v>
      </c>
    </row>
    <row r="63" spans="1:2" x14ac:dyDescent="0.45">
      <c r="A63" s="6">
        <v>45323</v>
      </c>
      <c r="B63" s="7">
        <v>296700</v>
      </c>
    </row>
    <row r="64" spans="1:2" x14ac:dyDescent="0.45">
      <c r="A64" s="6">
        <v>45352</v>
      </c>
      <c r="B64" s="7">
        <v>326600</v>
      </c>
    </row>
    <row r="65" spans="1:2" x14ac:dyDescent="0.45">
      <c r="A65" s="6">
        <v>45383</v>
      </c>
      <c r="B65" s="7">
        <v>332800</v>
      </c>
    </row>
    <row r="66" spans="1:2" x14ac:dyDescent="0.45">
      <c r="A66" s="6">
        <v>45413</v>
      </c>
      <c r="B66" s="7">
        <v>356100</v>
      </c>
    </row>
    <row r="67" spans="1:2" x14ac:dyDescent="0.45">
      <c r="A67" s="6">
        <v>45444</v>
      </c>
      <c r="B67" s="7">
        <v>332900</v>
      </c>
    </row>
    <row r="68" spans="1:2" x14ac:dyDescent="0.45">
      <c r="A68" s="6">
        <v>45474</v>
      </c>
      <c r="B68" s="7">
        <v>306400</v>
      </c>
    </row>
    <row r="69" spans="1:2" x14ac:dyDescent="0.45">
      <c r="A69" s="6">
        <v>45505</v>
      </c>
      <c r="B69" s="7">
        <v>319900</v>
      </c>
    </row>
    <row r="70" spans="1:2" x14ac:dyDescent="0.45">
      <c r="A70" s="6">
        <v>45536</v>
      </c>
      <c r="B70" s="7">
        <v>371100</v>
      </c>
    </row>
    <row r="71" spans="1:2" x14ac:dyDescent="0.45">
      <c r="A71" s="6">
        <v>45566</v>
      </c>
      <c r="B71" s="7">
        <v>375200</v>
      </c>
    </row>
    <row r="72" spans="1:2" x14ac:dyDescent="0.45">
      <c r="A72" s="6">
        <v>45597</v>
      </c>
      <c r="B72" s="7">
        <v>399700</v>
      </c>
    </row>
    <row r="73" spans="1:2" x14ac:dyDescent="0.45">
      <c r="A73" s="6">
        <v>45627</v>
      </c>
      <c r="B73" s="7">
        <v>425500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3"/>
  <sheetViews>
    <sheetView workbookViewId="0"/>
  </sheetViews>
  <sheetFormatPr defaultRowHeight="14.25" x14ac:dyDescent="0.45"/>
  <cols>
    <col min="1" max="2" width="14" customWidth="1"/>
  </cols>
  <sheetData>
    <row r="1" spans="1:2" x14ac:dyDescent="0.45">
      <c r="A1" s="5" t="s">
        <v>57</v>
      </c>
      <c r="B1" s="5" t="s">
        <v>59</v>
      </c>
    </row>
    <row r="2" spans="1:2" x14ac:dyDescent="0.45">
      <c r="A2" s="6">
        <v>43466</v>
      </c>
      <c r="B2">
        <v>40</v>
      </c>
    </row>
    <row r="3" spans="1:2" x14ac:dyDescent="0.45">
      <c r="A3" s="6">
        <v>43497</v>
      </c>
      <c r="B3">
        <v>55</v>
      </c>
    </row>
    <row r="4" spans="1:2" x14ac:dyDescent="0.45">
      <c r="A4" s="6">
        <v>43525</v>
      </c>
      <c r="B4">
        <v>19</v>
      </c>
    </row>
    <row r="5" spans="1:2" x14ac:dyDescent="0.45">
      <c r="A5" s="6">
        <v>43556</v>
      </c>
      <c r="B5">
        <v>51</v>
      </c>
    </row>
    <row r="6" spans="1:2" x14ac:dyDescent="0.45">
      <c r="A6" s="6">
        <v>43586</v>
      </c>
      <c r="B6">
        <v>45</v>
      </c>
    </row>
    <row r="7" spans="1:2" x14ac:dyDescent="0.45">
      <c r="A7" s="6">
        <v>43617</v>
      </c>
      <c r="B7">
        <v>43</v>
      </c>
    </row>
    <row r="8" spans="1:2" x14ac:dyDescent="0.45">
      <c r="A8" s="6">
        <v>43647</v>
      </c>
      <c r="B8">
        <v>47</v>
      </c>
    </row>
    <row r="9" spans="1:2" x14ac:dyDescent="0.45">
      <c r="A9" s="6">
        <v>43678</v>
      </c>
      <c r="B9">
        <v>30</v>
      </c>
    </row>
    <row r="10" spans="1:2" x14ac:dyDescent="0.45">
      <c r="A10" s="6">
        <v>43709</v>
      </c>
      <c r="B10">
        <v>47</v>
      </c>
    </row>
    <row r="11" spans="1:2" x14ac:dyDescent="0.45">
      <c r="A11" s="6">
        <v>43739</v>
      </c>
      <c r="B11">
        <v>53</v>
      </c>
    </row>
    <row r="12" spans="1:2" x14ac:dyDescent="0.45">
      <c r="A12" s="6">
        <v>43770</v>
      </c>
      <c r="B12">
        <v>64</v>
      </c>
    </row>
    <row r="13" spans="1:2" x14ac:dyDescent="0.45">
      <c r="A13" s="6">
        <v>43800</v>
      </c>
      <c r="B13">
        <v>47</v>
      </c>
    </row>
    <row r="14" spans="1:2" x14ac:dyDescent="0.45">
      <c r="A14" s="6">
        <v>43831</v>
      </c>
      <c r="B14">
        <v>46</v>
      </c>
    </row>
    <row r="15" spans="1:2" x14ac:dyDescent="0.45">
      <c r="A15" s="6">
        <v>43862</v>
      </c>
      <c r="B15">
        <v>50</v>
      </c>
    </row>
    <row r="16" spans="1:2" x14ac:dyDescent="0.45">
      <c r="A16" s="6">
        <v>43891</v>
      </c>
      <c r="B16">
        <v>64</v>
      </c>
    </row>
    <row r="17" spans="1:2" x14ac:dyDescent="0.45">
      <c r="A17" s="6">
        <v>43922</v>
      </c>
      <c r="B17">
        <v>59</v>
      </c>
    </row>
    <row r="18" spans="1:2" x14ac:dyDescent="0.45">
      <c r="A18" s="6">
        <v>43952</v>
      </c>
      <c r="B18">
        <v>53</v>
      </c>
    </row>
    <row r="19" spans="1:2" x14ac:dyDescent="0.45">
      <c r="A19" s="6">
        <v>43983</v>
      </c>
      <c r="B19">
        <v>63</v>
      </c>
    </row>
    <row r="20" spans="1:2" x14ac:dyDescent="0.45">
      <c r="A20" s="6">
        <v>44013</v>
      </c>
      <c r="B20">
        <v>61</v>
      </c>
    </row>
    <row r="21" spans="1:2" x14ac:dyDescent="0.45">
      <c r="A21" s="6">
        <v>44044</v>
      </c>
      <c r="B21">
        <v>70</v>
      </c>
    </row>
    <row r="22" spans="1:2" x14ac:dyDescent="0.45">
      <c r="A22" s="6">
        <v>44075</v>
      </c>
      <c r="B22">
        <v>56</v>
      </c>
    </row>
    <row r="23" spans="1:2" x14ac:dyDescent="0.45">
      <c r="A23" s="6">
        <v>44105</v>
      </c>
      <c r="B23">
        <v>60</v>
      </c>
    </row>
    <row r="24" spans="1:2" x14ac:dyDescent="0.45">
      <c r="A24" s="6">
        <v>44136</v>
      </c>
      <c r="B24">
        <v>61</v>
      </c>
    </row>
    <row r="25" spans="1:2" x14ac:dyDescent="0.45">
      <c r="A25" s="6">
        <v>44166</v>
      </c>
      <c r="B25">
        <v>52</v>
      </c>
    </row>
    <row r="26" spans="1:2" x14ac:dyDescent="0.45">
      <c r="A26" s="6">
        <v>44197</v>
      </c>
      <c r="B26">
        <v>69</v>
      </c>
    </row>
    <row r="27" spans="1:2" x14ac:dyDescent="0.45">
      <c r="A27" s="6">
        <v>44228</v>
      </c>
      <c r="B27">
        <v>70</v>
      </c>
    </row>
    <row r="28" spans="1:2" x14ac:dyDescent="0.45">
      <c r="A28" s="6">
        <v>44256</v>
      </c>
      <c r="B28">
        <v>69</v>
      </c>
    </row>
    <row r="29" spans="1:2" x14ac:dyDescent="0.45">
      <c r="A29" s="6">
        <v>44287</v>
      </c>
      <c r="B29">
        <v>68</v>
      </c>
    </row>
    <row r="30" spans="1:2" x14ac:dyDescent="0.45">
      <c r="A30" s="6">
        <v>44317</v>
      </c>
      <c r="B30">
        <v>58</v>
      </c>
    </row>
    <row r="31" spans="1:2" x14ac:dyDescent="0.45">
      <c r="A31" s="6">
        <v>44348</v>
      </c>
      <c r="B31">
        <v>68</v>
      </c>
    </row>
    <row r="32" spans="1:2" x14ac:dyDescent="0.45">
      <c r="A32" s="6">
        <v>44378</v>
      </c>
      <c r="B32">
        <v>70</v>
      </c>
    </row>
    <row r="33" spans="1:2" x14ac:dyDescent="0.45">
      <c r="A33" s="6">
        <v>44409</v>
      </c>
      <c r="B33">
        <v>67</v>
      </c>
    </row>
    <row r="34" spans="1:2" x14ac:dyDescent="0.45">
      <c r="A34" s="6">
        <v>44440</v>
      </c>
      <c r="B34">
        <v>74</v>
      </c>
    </row>
    <row r="35" spans="1:2" x14ac:dyDescent="0.45">
      <c r="A35" s="6">
        <v>44470</v>
      </c>
      <c r="B35">
        <v>80</v>
      </c>
    </row>
    <row r="36" spans="1:2" x14ac:dyDescent="0.45">
      <c r="A36" s="6">
        <v>44501</v>
      </c>
      <c r="B36">
        <v>94</v>
      </c>
    </row>
    <row r="37" spans="1:2" x14ac:dyDescent="0.45">
      <c r="A37" s="6">
        <v>44531</v>
      </c>
      <c r="B37">
        <v>80</v>
      </c>
    </row>
    <row r="38" spans="1:2" x14ac:dyDescent="0.45">
      <c r="A38" s="6">
        <v>44562</v>
      </c>
      <c r="B38">
        <v>82</v>
      </c>
    </row>
    <row r="39" spans="1:2" x14ac:dyDescent="0.45">
      <c r="A39" s="6">
        <v>44593</v>
      </c>
      <c r="B39">
        <v>80</v>
      </c>
    </row>
    <row r="40" spans="1:2" x14ac:dyDescent="0.45">
      <c r="A40" s="6">
        <v>44621</v>
      </c>
      <c r="B40">
        <v>65</v>
      </c>
    </row>
    <row r="41" spans="1:2" x14ac:dyDescent="0.45">
      <c r="A41" s="6">
        <v>44652</v>
      </c>
      <c r="B41">
        <v>83</v>
      </c>
    </row>
    <row r="42" spans="1:2" x14ac:dyDescent="0.45">
      <c r="A42" s="6">
        <v>44682</v>
      </c>
      <c r="B42">
        <v>85</v>
      </c>
    </row>
    <row r="43" spans="1:2" x14ac:dyDescent="0.45">
      <c r="A43" s="6">
        <v>44713</v>
      </c>
      <c r="B43">
        <v>107</v>
      </c>
    </row>
    <row r="44" spans="1:2" x14ac:dyDescent="0.45">
      <c r="A44" s="6">
        <v>44743</v>
      </c>
      <c r="B44">
        <v>84</v>
      </c>
    </row>
    <row r="45" spans="1:2" x14ac:dyDescent="0.45">
      <c r="A45" s="6">
        <v>44774</v>
      </c>
      <c r="B45">
        <v>90</v>
      </c>
    </row>
    <row r="46" spans="1:2" x14ac:dyDescent="0.45">
      <c r="A46" s="6">
        <v>44805</v>
      </c>
      <c r="B46">
        <v>88</v>
      </c>
    </row>
    <row r="47" spans="1:2" x14ac:dyDescent="0.45">
      <c r="A47" s="6">
        <v>44835</v>
      </c>
      <c r="B47">
        <v>79</v>
      </c>
    </row>
    <row r="48" spans="1:2" x14ac:dyDescent="0.45">
      <c r="A48" s="6">
        <v>44866</v>
      </c>
      <c r="B48">
        <v>101</v>
      </c>
    </row>
    <row r="49" spans="1:2" x14ac:dyDescent="0.45">
      <c r="A49" s="6">
        <v>44896</v>
      </c>
      <c r="B49">
        <v>98</v>
      </c>
    </row>
    <row r="50" spans="1:2" x14ac:dyDescent="0.45">
      <c r="A50" s="6">
        <v>44927</v>
      </c>
      <c r="B50">
        <v>100</v>
      </c>
    </row>
    <row r="51" spans="1:2" x14ac:dyDescent="0.45">
      <c r="A51" s="6">
        <v>44958</v>
      </c>
      <c r="B51">
        <v>86</v>
      </c>
    </row>
    <row r="52" spans="1:2" x14ac:dyDescent="0.45">
      <c r="A52" s="6">
        <v>44986</v>
      </c>
      <c r="B52">
        <v>108</v>
      </c>
    </row>
    <row r="53" spans="1:2" x14ac:dyDescent="0.45">
      <c r="A53" s="6">
        <v>45017</v>
      </c>
      <c r="B53">
        <v>83</v>
      </c>
    </row>
    <row r="54" spans="1:2" x14ac:dyDescent="0.45">
      <c r="A54" s="6">
        <v>45047</v>
      </c>
      <c r="B54">
        <v>102</v>
      </c>
    </row>
    <row r="55" spans="1:2" x14ac:dyDescent="0.45">
      <c r="A55" s="6">
        <v>45078</v>
      </c>
      <c r="B55">
        <v>118</v>
      </c>
    </row>
    <row r="56" spans="1:2" x14ac:dyDescent="0.45">
      <c r="A56" s="6">
        <v>45108</v>
      </c>
      <c r="B56">
        <v>90</v>
      </c>
    </row>
    <row r="57" spans="1:2" x14ac:dyDescent="0.45">
      <c r="A57" s="6">
        <v>45139</v>
      </c>
      <c r="B57">
        <v>95</v>
      </c>
    </row>
    <row r="58" spans="1:2" x14ac:dyDescent="0.45">
      <c r="A58" s="6">
        <v>45170</v>
      </c>
      <c r="B58">
        <v>102</v>
      </c>
    </row>
    <row r="59" spans="1:2" x14ac:dyDescent="0.45">
      <c r="A59" s="6">
        <v>45200</v>
      </c>
      <c r="B59">
        <v>98</v>
      </c>
    </row>
    <row r="60" spans="1:2" x14ac:dyDescent="0.45">
      <c r="A60" s="6">
        <v>45231</v>
      </c>
      <c r="B60">
        <v>90</v>
      </c>
    </row>
    <row r="61" spans="1:2" x14ac:dyDescent="0.45">
      <c r="A61" s="6">
        <v>45261</v>
      </c>
      <c r="B61">
        <v>106</v>
      </c>
    </row>
    <row r="62" spans="1:2" x14ac:dyDescent="0.45">
      <c r="A62" s="6">
        <v>45292</v>
      </c>
      <c r="B62">
        <v>96</v>
      </c>
    </row>
    <row r="63" spans="1:2" x14ac:dyDescent="0.45">
      <c r="A63" s="6">
        <v>45323</v>
      </c>
      <c r="B63">
        <v>111</v>
      </c>
    </row>
    <row r="64" spans="1:2" x14ac:dyDescent="0.45">
      <c r="A64" s="6">
        <v>45352</v>
      </c>
      <c r="B64">
        <v>100</v>
      </c>
    </row>
    <row r="65" spans="1:2" x14ac:dyDescent="0.45">
      <c r="A65" s="6">
        <v>45383</v>
      </c>
      <c r="B65">
        <v>123</v>
      </c>
    </row>
    <row r="66" spans="1:2" x14ac:dyDescent="0.45">
      <c r="A66" s="6">
        <v>45413</v>
      </c>
      <c r="B66">
        <v>103</v>
      </c>
    </row>
    <row r="67" spans="1:2" x14ac:dyDescent="0.45">
      <c r="A67" s="6">
        <v>45444</v>
      </c>
      <c r="B67">
        <v>109</v>
      </c>
    </row>
    <row r="68" spans="1:2" x14ac:dyDescent="0.45">
      <c r="A68" s="6">
        <v>45474</v>
      </c>
      <c r="B68">
        <v>120</v>
      </c>
    </row>
    <row r="69" spans="1:2" x14ac:dyDescent="0.45">
      <c r="A69" s="6">
        <v>45505</v>
      </c>
      <c r="B69">
        <v>103</v>
      </c>
    </row>
    <row r="70" spans="1:2" x14ac:dyDescent="0.45">
      <c r="A70" s="6">
        <v>45536</v>
      </c>
      <c r="B70">
        <v>117</v>
      </c>
    </row>
    <row r="71" spans="1:2" x14ac:dyDescent="0.45">
      <c r="A71" s="6">
        <v>45566</v>
      </c>
      <c r="B71">
        <v>128</v>
      </c>
    </row>
    <row r="72" spans="1:2" x14ac:dyDescent="0.45">
      <c r="A72" s="6">
        <v>45597</v>
      </c>
      <c r="B72">
        <v>103</v>
      </c>
    </row>
    <row r="73" spans="1:2" x14ac:dyDescent="0.45">
      <c r="A73" s="6">
        <v>45627</v>
      </c>
      <c r="B73">
        <v>120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sheetViews>
  <sheetFormatPr defaultRowHeight="14.25" x14ac:dyDescent="0.45"/>
  <cols>
    <col min="1" max="1" width="20" customWidth="1"/>
    <col min="2" max="2" width="12" customWidth="1"/>
  </cols>
  <sheetData>
    <row r="1" spans="1:2" ht="16.899999999999999" x14ac:dyDescent="0.5">
      <c r="A1" s="8" t="s">
        <v>60</v>
      </c>
    </row>
    <row r="2" spans="1:2" x14ac:dyDescent="0.45">
      <c r="A2" t="s">
        <v>61</v>
      </c>
      <c r="B2" t="s">
        <v>62</v>
      </c>
    </row>
    <row r="3" spans="1:2" x14ac:dyDescent="0.45">
      <c r="A3" s="5" t="s">
        <v>63</v>
      </c>
      <c r="B3" s="5" t="s">
        <v>70</v>
      </c>
    </row>
    <row r="4" spans="1:2" x14ac:dyDescent="0.45">
      <c r="A4" t="s">
        <v>64</v>
      </c>
      <c r="B4">
        <v>200</v>
      </c>
    </row>
    <row r="5" spans="1:2" x14ac:dyDescent="0.45">
      <c r="A5" t="s">
        <v>65</v>
      </c>
      <c r="B5">
        <v>1100</v>
      </c>
    </row>
    <row r="6" spans="1:2" x14ac:dyDescent="0.45">
      <c r="A6" t="s">
        <v>66</v>
      </c>
      <c r="B6">
        <v>30</v>
      </c>
    </row>
    <row r="7" spans="1:2" x14ac:dyDescent="0.45">
      <c r="A7" t="s">
        <v>67</v>
      </c>
      <c r="B7">
        <v>50</v>
      </c>
    </row>
    <row r="8" spans="1:2" x14ac:dyDescent="0.45">
      <c r="A8" t="s">
        <v>68</v>
      </c>
      <c r="B8">
        <v>10000</v>
      </c>
    </row>
    <row r="9" spans="1:2" x14ac:dyDescent="0.45">
      <c r="A9" t="s">
        <v>69</v>
      </c>
      <c r="B9">
        <v>42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follow-along</vt:lpstr>
      <vt:lpstr>revenue</vt:lpstr>
      <vt:lpstr>bookings</vt:lpstr>
      <vt:lpstr>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George Mount</cp:lastModifiedBy>
  <dcterms:created xsi:type="dcterms:W3CDTF">2026-07-16T14:16:06Z</dcterms:created>
  <dcterms:modified xsi:type="dcterms:W3CDTF">2026-10-05T15:20:24Z</dcterms:modified>
</cp:coreProperties>
</file>